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esktop\general\EGSA2025_performance\"/>
    </mc:Choice>
  </mc:AlternateContent>
  <bookViews>
    <workbookView xWindow="0" yWindow="0" windowWidth="23040" windowHeight="10044"/>
  </bookViews>
  <sheets>
    <sheet name="EGSA2025_performance" sheetId="1" r:id="rId1"/>
  </sheets>
  <calcPr calcId="0"/>
</workbook>
</file>

<file path=xl/calcChain.xml><?xml version="1.0" encoding="utf-8"?>
<calcChain xmlns="http://schemas.openxmlformats.org/spreadsheetml/2006/main">
  <c r="E24" i="1" l="1"/>
  <c r="E23" i="1"/>
  <c r="E22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<sst xmlns="http://schemas.openxmlformats.org/spreadsheetml/2006/main" count="50" uniqueCount="10">
  <si>
    <t>id</t>
  </si>
  <si>
    <t>loan_freq</t>
  </si>
  <si>
    <t>total_interest_amount</t>
  </si>
  <si>
    <t>monthly_payment</t>
  </si>
  <si>
    <t>volentary_saving</t>
  </si>
  <si>
    <t>fee_charge</t>
  </si>
  <si>
    <t>Benefit_gain</t>
  </si>
  <si>
    <t>no_new_members_by</t>
  </si>
  <si>
    <t>NULL</t>
  </si>
  <si>
    <t>achievement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</si>
</sst>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abSelected="1" workbookViewId="0">
      <selection activeCell="E25" sqref="E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9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>
        <v>1001</v>
      </c>
      <c r="B2" t="s">
        <v>8</v>
      </c>
      <c r="C2" t="s">
        <v>8</v>
      </c>
      <c r="D2">
        <v>5000</v>
      </c>
      <c r="E2">
        <f>73000+1000</f>
        <v>74000</v>
      </c>
      <c r="F2">
        <v>0</v>
      </c>
      <c r="G2">
        <v>242</v>
      </c>
      <c r="H2">
        <v>0</v>
      </c>
      <c r="I2" t="s">
        <v>8</v>
      </c>
    </row>
    <row r="3" spans="1:9" x14ac:dyDescent="0.3">
      <c r="A3">
        <v>1002</v>
      </c>
      <c r="B3">
        <v>3</v>
      </c>
      <c r="C3">
        <v>17500</v>
      </c>
      <c r="D3">
        <v>5000</v>
      </c>
      <c r="E3">
        <f>133525+1000</f>
        <v>134525</v>
      </c>
      <c r="F3">
        <v>0</v>
      </c>
      <c r="G3">
        <v>1400</v>
      </c>
      <c r="H3">
        <v>23625</v>
      </c>
      <c r="I3">
        <v>2</v>
      </c>
    </row>
    <row r="4" spans="1:9" x14ac:dyDescent="0.3">
      <c r="A4">
        <v>1003</v>
      </c>
      <c r="B4">
        <v>2</v>
      </c>
      <c r="C4">
        <v>17250</v>
      </c>
      <c r="D4">
        <v>5000</v>
      </c>
      <c r="E4">
        <f>136500+1000</f>
        <v>137500</v>
      </c>
      <c r="F4">
        <v>0</v>
      </c>
      <c r="G4">
        <v>650</v>
      </c>
      <c r="H4">
        <v>15250</v>
      </c>
      <c r="I4" t="s">
        <v>8</v>
      </c>
    </row>
    <row r="5" spans="1:9" x14ac:dyDescent="0.3">
      <c r="A5">
        <v>1004</v>
      </c>
      <c r="B5" t="s">
        <v>8</v>
      </c>
      <c r="C5" t="s">
        <v>8</v>
      </c>
      <c r="D5">
        <v>3000</v>
      </c>
      <c r="E5">
        <f>46500+1000</f>
        <v>47500</v>
      </c>
      <c r="F5">
        <v>0</v>
      </c>
      <c r="G5">
        <v>0</v>
      </c>
      <c r="H5">
        <v>0</v>
      </c>
      <c r="I5" t="s">
        <v>8</v>
      </c>
    </row>
    <row r="6" spans="1:9" x14ac:dyDescent="0.3">
      <c r="A6">
        <v>1005</v>
      </c>
      <c r="B6">
        <v>2</v>
      </c>
      <c r="C6">
        <v>6000</v>
      </c>
      <c r="D6">
        <v>5000</v>
      </c>
      <c r="E6">
        <f>49500+1000</f>
        <v>50500</v>
      </c>
      <c r="F6">
        <v>0</v>
      </c>
      <c r="G6">
        <v>892</v>
      </c>
      <c r="H6">
        <v>15250</v>
      </c>
      <c r="I6" t="s">
        <v>8</v>
      </c>
    </row>
    <row r="7" spans="1:9" x14ac:dyDescent="0.3">
      <c r="A7">
        <v>1006</v>
      </c>
      <c r="B7">
        <v>3</v>
      </c>
      <c r="C7">
        <v>17350</v>
      </c>
      <c r="D7">
        <v>5000</v>
      </c>
      <c r="E7">
        <f>123000+1000</f>
        <v>124000</v>
      </c>
      <c r="F7">
        <v>0</v>
      </c>
      <c r="G7">
        <v>650</v>
      </c>
      <c r="H7">
        <v>15350</v>
      </c>
      <c r="I7" t="s">
        <v>8</v>
      </c>
    </row>
    <row r="8" spans="1:9" x14ac:dyDescent="0.3">
      <c r="A8">
        <v>1007</v>
      </c>
      <c r="B8">
        <v>2</v>
      </c>
      <c r="C8">
        <v>6000</v>
      </c>
      <c r="D8">
        <v>5000</v>
      </c>
      <c r="E8">
        <f>47500+1000</f>
        <v>48500</v>
      </c>
      <c r="F8">
        <v>0</v>
      </c>
      <c r="G8">
        <v>0</v>
      </c>
      <c r="H8">
        <v>2250</v>
      </c>
      <c r="I8" t="s">
        <v>8</v>
      </c>
    </row>
    <row r="9" spans="1:9" x14ac:dyDescent="0.3">
      <c r="A9">
        <v>1008</v>
      </c>
      <c r="B9">
        <v>1</v>
      </c>
      <c r="C9">
        <v>2250</v>
      </c>
      <c r="D9">
        <v>4000</v>
      </c>
      <c r="E9">
        <f>112000+1000</f>
        <v>113000</v>
      </c>
      <c r="F9">
        <v>0</v>
      </c>
      <c r="G9">
        <v>650</v>
      </c>
      <c r="H9">
        <v>15250</v>
      </c>
      <c r="I9">
        <v>4</v>
      </c>
    </row>
    <row r="10" spans="1:9" x14ac:dyDescent="0.3">
      <c r="A10">
        <v>1009</v>
      </c>
      <c r="B10" t="s">
        <v>8</v>
      </c>
      <c r="C10" t="s">
        <v>8</v>
      </c>
      <c r="D10">
        <v>4000</v>
      </c>
      <c r="E10">
        <f>49500+1000</f>
        <v>50500</v>
      </c>
      <c r="F10">
        <v>0</v>
      </c>
      <c r="G10">
        <v>0</v>
      </c>
      <c r="H10">
        <v>0</v>
      </c>
      <c r="I10" t="s">
        <v>8</v>
      </c>
    </row>
    <row r="11" spans="1:9" x14ac:dyDescent="0.3">
      <c r="A11">
        <v>1010</v>
      </c>
      <c r="B11">
        <v>3</v>
      </c>
      <c r="C11">
        <v>7000</v>
      </c>
      <c r="D11">
        <v>5000</v>
      </c>
      <c r="E11">
        <f>104000+1000</f>
        <v>105000</v>
      </c>
      <c r="F11">
        <v>0</v>
      </c>
      <c r="G11">
        <v>4400</v>
      </c>
      <c r="H11">
        <v>20250</v>
      </c>
      <c r="I11" t="s">
        <v>8</v>
      </c>
    </row>
    <row r="12" spans="1:9" x14ac:dyDescent="0.3">
      <c r="A12">
        <v>1011</v>
      </c>
      <c r="B12">
        <v>2</v>
      </c>
      <c r="C12">
        <v>6000</v>
      </c>
      <c r="D12">
        <v>5000</v>
      </c>
      <c r="E12">
        <f>47500+1000</f>
        <v>48500</v>
      </c>
      <c r="F12">
        <v>0</v>
      </c>
      <c r="G12">
        <v>700</v>
      </c>
      <c r="H12">
        <v>2250</v>
      </c>
      <c r="I12" t="s">
        <v>8</v>
      </c>
    </row>
    <row r="13" spans="1:9" x14ac:dyDescent="0.3">
      <c r="A13">
        <v>1012</v>
      </c>
      <c r="B13" t="s">
        <v>8</v>
      </c>
      <c r="C13" t="s">
        <v>8</v>
      </c>
      <c r="D13">
        <v>5000</v>
      </c>
      <c r="E13">
        <f>121500+1000</f>
        <v>122500</v>
      </c>
      <c r="F13">
        <v>0</v>
      </c>
      <c r="G13">
        <v>900</v>
      </c>
      <c r="H13">
        <v>5825</v>
      </c>
      <c r="I13">
        <v>2</v>
      </c>
    </row>
    <row r="14" spans="1:9" x14ac:dyDescent="0.3">
      <c r="A14">
        <v>1013</v>
      </c>
      <c r="B14">
        <v>1</v>
      </c>
      <c r="C14">
        <v>2250</v>
      </c>
      <c r="D14">
        <v>4000</v>
      </c>
      <c r="E14">
        <f>84000+1000</f>
        <v>85000</v>
      </c>
      <c r="F14">
        <v>0</v>
      </c>
      <c r="G14">
        <v>937</v>
      </c>
      <c r="H14">
        <v>9250</v>
      </c>
      <c r="I14" t="s">
        <v>8</v>
      </c>
    </row>
    <row r="15" spans="1:9" x14ac:dyDescent="0.3">
      <c r="A15">
        <v>1014</v>
      </c>
      <c r="B15">
        <v>2</v>
      </c>
      <c r="C15">
        <v>2500</v>
      </c>
      <c r="D15">
        <v>5000</v>
      </c>
      <c r="E15">
        <f>85000+1000</f>
        <v>86000</v>
      </c>
      <c r="F15">
        <v>0</v>
      </c>
      <c r="G15">
        <v>1250</v>
      </c>
      <c r="H15">
        <v>2500</v>
      </c>
      <c r="I15" t="s">
        <v>8</v>
      </c>
    </row>
    <row r="16" spans="1:9" x14ac:dyDescent="0.3">
      <c r="A16">
        <v>1015</v>
      </c>
      <c r="B16" t="s">
        <v>8</v>
      </c>
      <c r="C16" t="s">
        <v>8</v>
      </c>
      <c r="D16">
        <v>4000</v>
      </c>
      <c r="E16">
        <f>67000+1000</f>
        <v>68000</v>
      </c>
      <c r="F16">
        <v>0</v>
      </c>
      <c r="G16">
        <v>2000</v>
      </c>
      <c r="H16">
        <v>0</v>
      </c>
      <c r="I16" t="s">
        <v>8</v>
      </c>
    </row>
    <row r="17" spans="1:9" x14ac:dyDescent="0.3">
      <c r="A17">
        <v>1016</v>
      </c>
      <c r="B17" t="s">
        <v>8</v>
      </c>
      <c r="C17" t="s">
        <v>8</v>
      </c>
      <c r="D17">
        <v>3000</v>
      </c>
      <c r="E17">
        <f>44000+1000</f>
        <v>45000</v>
      </c>
      <c r="F17">
        <v>0</v>
      </c>
      <c r="G17">
        <v>2000</v>
      </c>
      <c r="H17">
        <v>0</v>
      </c>
      <c r="I17" t="s">
        <v>8</v>
      </c>
    </row>
    <row r="18" spans="1:9" x14ac:dyDescent="0.3">
      <c r="A18">
        <v>1017</v>
      </c>
      <c r="B18">
        <v>1</v>
      </c>
      <c r="C18">
        <v>2250</v>
      </c>
      <c r="D18">
        <v>3000</v>
      </c>
      <c r="E18">
        <f>44000+1000</f>
        <v>45000</v>
      </c>
      <c r="F18">
        <v>0</v>
      </c>
      <c r="G18">
        <v>2400</v>
      </c>
      <c r="H18">
        <v>5850</v>
      </c>
      <c r="I18">
        <v>1</v>
      </c>
    </row>
    <row r="19" spans="1:9" x14ac:dyDescent="0.3">
      <c r="A19">
        <v>1019</v>
      </c>
      <c r="B19" t="s">
        <v>8</v>
      </c>
      <c r="C19" t="s">
        <v>8</v>
      </c>
      <c r="D19">
        <v>3000</v>
      </c>
      <c r="E19">
        <f>43000+1000</f>
        <v>44000</v>
      </c>
      <c r="F19">
        <v>0</v>
      </c>
      <c r="G19">
        <v>2000</v>
      </c>
      <c r="H19">
        <v>0</v>
      </c>
      <c r="I19" t="s">
        <v>8</v>
      </c>
    </row>
    <row r="20" spans="1:9" x14ac:dyDescent="0.3">
      <c r="A20">
        <v>1020</v>
      </c>
      <c r="B20" t="s">
        <v>8</v>
      </c>
      <c r="C20" t="s">
        <v>8</v>
      </c>
      <c r="D20">
        <v>1000</v>
      </c>
      <c r="E20">
        <f>41000+1000</f>
        <v>42000</v>
      </c>
      <c r="F20">
        <v>0</v>
      </c>
      <c r="G20">
        <v>2000</v>
      </c>
      <c r="H20">
        <v>0</v>
      </c>
      <c r="I20" t="s">
        <v>8</v>
      </c>
    </row>
    <row r="21" spans="1:9" x14ac:dyDescent="0.3">
      <c r="A21">
        <v>1021</v>
      </c>
      <c r="B21" t="s">
        <v>8</v>
      </c>
      <c r="C21" t="s">
        <v>8</v>
      </c>
      <c r="D21">
        <v>2000</v>
      </c>
      <c r="E21">
        <v>2000</v>
      </c>
      <c r="F21">
        <v>0</v>
      </c>
      <c r="G21">
        <v>2000</v>
      </c>
      <c r="H21">
        <v>0</v>
      </c>
      <c r="I21" t="s">
        <v>8</v>
      </c>
    </row>
    <row r="22" spans="1:9" x14ac:dyDescent="0.3">
      <c r="A22">
        <v>1022</v>
      </c>
      <c r="B22" t="s">
        <v>8</v>
      </c>
      <c r="C22" t="s">
        <v>8</v>
      </c>
      <c r="D22">
        <v>3000</v>
      </c>
      <c r="E22">
        <f>48000+1000</f>
        <v>49000</v>
      </c>
      <c r="F22">
        <v>0</v>
      </c>
      <c r="G22">
        <v>2000</v>
      </c>
      <c r="H22">
        <v>0</v>
      </c>
      <c r="I22" t="s">
        <v>8</v>
      </c>
    </row>
    <row r="23" spans="1:9" x14ac:dyDescent="0.3">
      <c r="A23">
        <v>1023</v>
      </c>
      <c r="B23">
        <v>1</v>
      </c>
      <c r="C23">
        <v>2250</v>
      </c>
      <c r="D23">
        <v>3000</v>
      </c>
      <c r="E23">
        <f>43000+1000</f>
        <v>44000</v>
      </c>
      <c r="F23">
        <v>0</v>
      </c>
      <c r="G23">
        <v>2000</v>
      </c>
      <c r="H23">
        <v>2250</v>
      </c>
      <c r="I23" t="s">
        <v>8</v>
      </c>
    </row>
    <row r="24" spans="1:9" x14ac:dyDescent="0.3">
      <c r="A24">
        <v>1024</v>
      </c>
      <c r="B24" t="s">
        <v>8</v>
      </c>
      <c r="C24" t="s">
        <v>8</v>
      </c>
      <c r="D24">
        <v>3000</v>
      </c>
      <c r="E24">
        <f>100000+1000</f>
        <v>101000</v>
      </c>
      <c r="F24">
        <v>0</v>
      </c>
      <c r="G24">
        <v>2000</v>
      </c>
      <c r="H24">
        <v>0</v>
      </c>
      <c r="I2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modified xsi:type="dcterms:W3CDTF">2026-05-04T12:57:22Z</dcterms:modified>
</cp:coreProperties>
</file>